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iger\Documents\Waterloo\2B\ECE 298\"/>
    </mc:Choice>
  </mc:AlternateContent>
  <xr:revisionPtr revIDLastSave="0" documentId="13_ncr:1_{653F2C55-9B7B-400E-8D9C-9D52C8C3593A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7" i="1" l="1"/>
</calcChain>
</file>

<file path=xl/sharedStrings.xml><?xml version="1.0" encoding="utf-8"?>
<sst xmlns="http://schemas.openxmlformats.org/spreadsheetml/2006/main" count="248" uniqueCount="248">
  <si>
    <t>SENSOR MODULES (Components available for these)</t>
  </si>
  <si>
    <t>PART NAME</t>
  </si>
  <si>
    <t>Distributor Part No</t>
  </si>
  <si>
    <t>RIGIDWARE  PRICE (without TAX)</t>
  </si>
  <si>
    <t>QUANTITY</t>
  </si>
  <si>
    <t>Robotshop
RB-Spa-1351</t>
  </si>
  <si>
    <t>Sparkfun ROB-09453
Analog Reflective Light Sensor</t>
  </si>
  <si>
    <t>INTERFACE MODULES (Components available for these)</t>
  </si>
  <si>
    <t>Sparkfun BOB-13906</t>
  </si>
  <si>
    <t>Sparkfun ROB-14451</t>
  </si>
  <si>
    <t>Amazon Distributed
Longmire ULN2003
Stepper Driver Board</t>
  </si>
  <si>
    <t>Robotshop
RB-FEE-43</t>
  </si>
  <si>
    <t xml:space="preserve">SPECIALIZED MODULES (to be used as-is) </t>
  </si>
  <si>
    <t>Mouser Part #
595-MSP-EXP430FR4133</t>
  </si>
  <si>
    <t>Digikey
1145-1110-ND</t>
  </si>
  <si>
    <t>Sparkfun COM-14662</t>
  </si>
  <si>
    <t>Robotshop RB-SCT-1117</t>
  </si>
  <si>
    <t>Amazon Distributed Stepper Motor</t>
  </si>
  <si>
    <t>Amazon Distributed Micro Servo</t>
  </si>
  <si>
    <t>SENSOR COMPONENTS</t>
  </si>
  <si>
    <t>Digikey
TMP36GT9Z-ND
Temperature Sensor</t>
  </si>
  <si>
    <t>Digikey
BC2301-ND
Temperature Sensor (thermistor)</t>
  </si>
  <si>
    <t>Digikey AH815
Hall Effect Sensor</t>
  </si>
  <si>
    <t>Digikey
2010-1286-6-ND
Reed Switch</t>
  </si>
  <si>
    <t>Digikey
QRE1113GRDKR-ND</t>
  </si>
  <si>
    <t>Sparkfun
SEN-09088</t>
  </si>
  <si>
    <t>Sparkfun SEN-09299
Photo Interrupter</t>
  </si>
  <si>
    <t>Digikey
399-4925-2-ND</t>
  </si>
  <si>
    <t>Digikey
399-3133-2-ND</t>
  </si>
  <si>
    <t>Digikey
399-8006-2-ND</t>
  </si>
  <si>
    <t>Digikey
399-7999-6-ND</t>
  </si>
  <si>
    <t>Digikey
RMCF0805JT560KTR-ND</t>
  </si>
  <si>
    <t>Digikey
RMCF0805JG10K0TR-ND</t>
  </si>
  <si>
    <t>Digikey
RMCF0805JT1K00TR-ND</t>
  </si>
  <si>
    <t>Digikey
TC33X-104EDKR-ND</t>
  </si>
  <si>
    <t>Digikey
TC33X-103ETR-ND</t>
  </si>
  <si>
    <t>Digikey
TC33X-202ECT-ND</t>
  </si>
  <si>
    <t>CONNECTORS</t>
  </si>
  <si>
    <t>Digikey
CP-2519-ND</t>
  </si>
  <si>
    <t>Digikey
455-2270-ND</t>
  </si>
  <si>
    <t>Digikey
SAM1087-03-ND</t>
  </si>
  <si>
    <t>Digikey
S7000-ND</t>
  </si>
  <si>
    <t>Male to Male Module Header Connector
for soldering to SMD Adapters and Modules</t>
  </si>
  <si>
    <t>SEMICONDUCTORS(1)</t>
  </si>
  <si>
    <t>Digikey
433-1062-ND</t>
  </si>
  <si>
    <t>Digikey
1497-1031-ND</t>
  </si>
  <si>
    <t>Digikey
1497-1030-ND</t>
  </si>
  <si>
    <t>Digikey
1497-1256-ND</t>
  </si>
  <si>
    <t>Digikey
1497-1023-ND</t>
  </si>
  <si>
    <t>Digikey
 1497-1022-ND</t>
  </si>
  <si>
    <t>Digikey
1497-1258-ND</t>
  </si>
  <si>
    <t>Digikey
1497-1002-ND</t>
  </si>
  <si>
    <t xml:space="preserve">Digikey
1497-1003-ND </t>
  </si>
  <si>
    <t>Digikey
1497-1262-ND</t>
  </si>
  <si>
    <t>Digikey
1497-1261-ND</t>
  </si>
  <si>
    <t>Digikey
1497-1263-ND</t>
  </si>
  <si>
    <t>Digikey
1497-1032-ND</t>
  </si>
  <si>
    <t>Digikey
1497-1004-ND</t>
  </si>
  <si>
    <t>Digikey
1497-1013-ND</t>
  </si>
  <si>
    <t>Digikey
1497-1033-ND</t>
  </si>
  <si>
    <t>Digikey
1497-1453-ND</t>
  </si>
  <si>
    <t>Digikey
1497-1009-ND</t>
  </si>
  <si>
    <t>SEMICONDUCTORS(2)</t>
  </si>
  <si>
    <t>Digikey
641-1310-1-ND</t>
  </si>
  <si>
    <t>Digikey
2N3904-APTB-ND</t>
  </si>
  <si>
    <t>Digikey
OPA344NACT-ND</t>
  </si>
  <si>
    <t>Digikey
MCP65R41T-1202E/CHYDKR-ND</t>
  </si>
  <si>
    <t>Digikey
M74VHC1GT04DTT1GOSDKR-ND</t>
  </si>
  <si>
    <t>Digikey
M74VHC1GT08DTT1GOSDKR-ND</t>
  </si>
  <si>
    <t>Digikey
MC74VHC1G32DTT1GOSDKR-ND</t>
  </si>
  <si>
    <t>Digikey
MC74VHC1G86DTT1GOSDKR-ND</t>
  </si>
  <si>
    <t>Digikey
NL17SZ125DTT1GOSDKR-ND</t>
  </si>
  <si>
    <t>Digikey
296-14530-1-ND</t>
  </si>
  <si>
    <t>Digikey
TB6612FNGC8ELCT-ND
SSOP24</t>
  </si>
  <si>
    <t>Digikey
ULN2003AS16-13DIDKR-ND</t>
  </si>
  <si>
    <t>Futurlec</t>
  </si>
  <si>
    <t>Sparkfun BOB-09322
Photo Interrupter PCB</t>
  </si>
  <si>
    <t>Digikey
469-1005-ND
Neodymium Magnet</t>
  </si>
  <si>
    <t>PASSIVES (pkg of 5)</t>
  </si>
  <si>
    <t>Once you're finished, click the GENERATE SHOPPING LIST BUTTON</t>
  </si>
  <si>
    <t>Sparkfun BOB-12009</t>
  </si>
  <si>
    <t>Robotshop RB-WAV-58</t>
  </si>
  <si>
    <t>Robotshop HC-SR04</t>
  </si>
  <si>
    <t>Sparkfun</t>
  </si>
  <si>
    <t xml:space="preserve">Robotshop RB-spa-200
</t>
  </si>
  <si>
    <t>UPARTMD9745</t>
  </si>
  <si>
    <t>UPARTPBSW</t>
  </si>
  <si>
    <t>Digikey S7008-ND</t>
  </si>
  <si>
    <t>HPART1x10LPIF</t>
  </si>
  <si>
    <t>Digikey S7002-ND</t>
  </si>
  <si>
    <t>HPART1x4</t>
  </si>
  <si>
    <t>Digikey
RB521S30T1GOSCT-ND</t>
  </si>
  <si>
    <t>MODULE - Stepper Motor Driver</t>
  </si>
  <si>
    <t>MODULE - Keypad 4x4</t>
  </si>
  <si>
    <t xml:space="preserve">MODULE - DC Brushed Motor </t>
  </si>
  <si>
    <t>MODULE - Stepper Motor 5V</t>
  </si>
  <si>
    <t>MODULE - Micro Servo Motor</t>
  </si>
  <si>
    <t>MODULE - Ultrasonic Distance Sensor</t>
  </si>
  <si>
    <t>MODULE - Soil Moisture Sensor</t>
  </si>
  <si>
    <t>ECE-298 F2019 MODULES and COMPONENTS
ORDER LIST</t>
  </si>
  <si>
    <t>Digikey
RMCF0805JT150KTR-ND</t>
  </si>
  <si>
    <t>Digikey
RMCF0805JT100KTR-ND</t>
  </si>
  <si>
    <t>Digikey
RMCF0805JT100RTR-ND</t>
  </si>
  <si>
    <t>Digikey
RMCF0805JT470RTR-ND</t>
  </si>
  <si>
    <t>Digikey
RMCF0805JT33RTR-ND</t>
  </si>
  <si>
    <t>Digikey BSS138
Device marking is "SS"</t>
  </si>
  <si>
    <t>Digikey
SSM3K357RLFDKR-ND
Device Marking is "KR1"</t>
  </si>
  <si>
    <t>COMPONENT - Temperature Sensor - Analog</t>
  </si>
  <si>
    <t>COMPONENT - Microphone
(Electretl Condenser)</t>
  </si>
  <si>
    <t>COMPONENT - Hall Effect Sensor</t>
  </si>
  <si>
    <t>COMPONENT - Reed Switch</t>
  </si>
  <si>
    <t>COMPONENT - Reflective Light Sensor</t>
  </si>
  <si>
    <t>COMPONENT - Ambient Light Sensor (LDR)</t>
  </si>
  <si>
    <t>COMPONENT - Photo-Interrupter</t>
  </si>
  <si>
    <t>COMPONENT - Break-away Module  Header Pins (Male/Male) 1x40</t>
  </si>
  <si>
    <t>COMPONENT - AUDIO PIEZO TRANSDUCER 1-30V</t>
  </si>
  <si>
    <t>COMPONENT - Diode
1N4001</t>
  </si>
  <si>
    <t>COMPONENT - Schottky Diode</t>
  </si>
  <si>
    <t>COMPONENT - Bipolar  NPN Transistor (BJT)</t>
  </si>
  <si>
    <t>COMPONENT - Stepper Motor Driver</t>
  </si>
  <si>
    <t>MODULE - Mic and Amp</t>
  </si>
  <si>
    <t>MODULE -REFL Light Sensor</t>
  </si>
  <si>
    <t>MODULE - Multiplexer - Bidir  8 to 1</t>
  </si>
  <si>
    <t>MODULE - DC BRUSHED Motor Driver</t>
  </si>
  <si>
    <t xml:space="preserve">MODULE - MOSFET Power </t>
  </si>
  <si>
    <t>MODULE - Launchpad Board</t>
  </si>
  <si>
    <t xml:space="preserve">MODULE - AC/DC 5V Adapter 1Amp </t>
  </si>
  <si>
    <t>MODULE - Plastic Wheel 65 mm</t>
  </si>
  <si>
    <t>COMPONENT - Thermistor - Analog</t>
  </si>
  <si>
    <t>COMPONENT - PB Switch SMT</t>
  </si>
  <si>
    <t>COMPONENT - Capacitor 10ufd (5 pack)</t>
  </si>
  <si>
    <t>COMPONENT - Capacitor 
4.7 ufd (5 pack)</t>
  </si>
  <si>
    <t>COMPONENT - Capacitor 
1 ufd (5 pack)</t>
  </si>
  <si>
    <t>COMPONENT - Capacitor 
0.1 ufd (5 pack)</t>
  </si>
  <si>
    <t>COMPONENT - Resistor 560K
(5 pack)</t>
  </si>
  <si>
    <t>COMPONENT - Resistor 150K
(5 pack)</t>
  </si>
  <si>
    <t>COMPONENT - Resistor 100K
(5 pack)</t>
  </si>
  <si>
    <t>COMPONENT - Resistor 10K
(5 pack)</t>
  </si>
  <si>
    <t>COMPONENT - Resistor 1K
(5 pack)</t>
  </si>
  <si>
    <t>COMPONENT - Resistor 470
(5 pack)</t>
  </si>
  <si>
    <t>COMPONENT - Resistor 100
(5 pack)</t>
  </si>
  <si>
    <t>COMPONENT - Resistor 33
(5 pack)</t>
  </si>
  <si>
    <t>COMPONENT - Trimmer Pot 100K SMT</t>
  </si>
  <si>
    <t>COMPONENT - Trimmer Pot 10K SMT</t>
  </si>
  <si>
    <t>COMPONENT - Trimmer Pot 2K SMT</t>
  </si>
  <si>
    <t>COMPONENT - Female Connector, 1x10</t>
  </si>
  <si>
    <t>COMPONENT - Female Connector, 1x4</t>
  </si>
  <si>
    <t>COMPONENT - Male Connector 1x5
(Stepper Motor I/F)</t>
  </si>
  <si>
    <t>COMPONENT - Female Connector, 1x3</t>
  </si>
  <si>
    <t>COMPONENT - Female Connector, 1x2</t>
  </si>
  <si>
    <t>COMPONENT - 5V PCB Power Connector</t>
  </si>
  <si>
    <t>COMPONENT - GREEN LED - Diffused  (3mm)</t>
  </si>
  <si>
    <t>COMPONENT - GREEN LED - Clear  (3mm)</t>
  </si>
  <si>
    <t>COMPONENT - GREEN LED - Clear  (5mm)</t>
  </si>
  <si>
    <t>COMPONENT - BLUE LED - Clear  (3mm)</t>
  </si>
  <si>
    <t>COMPONENT - ORANGE LED - Clear  (3mm)</t>
  </si>
  <si>
    <t>COMPONENT - YELLOW LED - Clear  (3mm)</t>
  </si>
  <si>
    <t xml:space="preserve">COMPONENT - ORANGE LED - Clear (5mm) </t>
  </si>
  <si>
    <t>COMPONENT - YELLOW LED - Diffused (3mm)</t>
  </si>
  <si>
    <t xml:space="preserve">COMPONENT - BLUE LED - Clear (5mm) </t>
  </si>
  <si>
    <t>COMPONENT - YELLOW LED - Clear (5mm)</t>
  </si>
  <si>
    <t>COMPONENT - YELLOW LED - Diff (5mm)</t>
  </si>
  <si>
    <t>COMPONENT - RED  LED - Clear (3mm)</t>
  </si>
  <si>
    <t>COMPONENT - RED LED  - Diffused  5mm)</t>
  </si>
  <si>
    <t>COMPONENT - RED LED - Diffused  (3mm)</t>
  </si>
  <si>
    <t>COMPONENT - RED LED  - Clear (5mm)</t>
  </si>
  <si>
    <t>COMPONENT - GREEN LED  - Diffused (5mm)</t>
  </si>
  <si>
    <t>COMPONENT - N-Channel MOSFET (200 mA SS)</t>
  </si>
  <si>
    <t>COMPONENT - Single Two Input AND Gate SOT-23-5</t>
  </si>
  <si>
    <t>COMPONENT - Single Two Input OR Gate SOT-23-5</t>
  </si>
  <si>
    <t>COMPONENT - OP AMP OPA344 (SINGLE) SOT23-5</t>
  </si>
  <si>
    <t>COMPONENT - Comparator SOT-23-6</t>
  </si>
  <si>
    <t>COMPONENT - Inverter Single Gate SOT-23-5</t>
  </si>
  <si>
    <t>COMPONENT - Single Two Input XOR Gate SOT-23-5</t>
  </si>
  <si>
    <t>COMPONENT - Single tri-state Driver Gate SOT-23-5</t>
  </si>
  <si>
    <t>COMPONENT - Multiplexer 8 to 1 Bidir SOIC16</t>
  </si>
  <si>
    <t>COMPONENT - BRUSHED DC Motor Driver SSOP24</t>
  </si>
  <si>
    <t>COMPONENT - SOT23-6 ADAPTER PCB</t>
  </si>
  <si>
    <t>COMPONENT -PHOTO_INTERRUPTER PCB</t>
  </si>
  <si>
    <t>Component - Magnet</t>
  </si>
  <si>
    <t>ECE 398 DipTrace Part</t>
  </si>
  <si>
    <t>RIGIDWARE SKU</t>
  </si>
  <si>
    <t>UPART36</t>
  </si>
  <si>
    <t>UPARTTHRM100</t>
  </si>
  <si>
    <t>UPART1815</t>
  </si>
  <si>
    <t>UPART1113GR</t>
  </si>
  <si>
    <t>UPART5528</t>
  </si>
  <si>
    <t>UPART1A57</t>
  </si>
  <si>
    <t>CPART10u0</t>
  </si>
  <si>
    <t>CPART004u7</t>
  </si>
  <si>
    <t>CPART001u0</t>
  </si>
  <si>
    <t>CPART000u1</t>
  </si>
  <si>
    <t>RPART560K</t>
  </si>
  <si>
    <t>RPART150K</t>
  </si>
  <si>
    <t>RPART100K</t>
  </si>
  <si>
    <t>RPART10K</t>
  </si>
  <si>
    <t>RPART1K</t>
  </si>
  <si>
    <t>RPART470R</t>
  </si>
  <si>
    <t>RPART100R</t>
  </si>
  <si>
    <t>RPART33R</t>
  </si>
  <si>
    <t>VRPART100K</t>
  </si>
  <si>
    <t>VRPART010K</t>
  </si>
  <si>
    <t>VRPART002K</t>
  </si>
  <si>
    <t>HPART007</t>
  </si>
  <si>
    <t>HPART1x5</t>
  </si>
  <si>
    <t>HPART1x3</t>
  </si>
  <si>
    <t>HPART1x2</t>
  </si>
  <si>
    <t>QPARTR5D34</t>
  </si>
  <si>
    <t>QPARTR3D1</t>
  </si>
  <si>
    <t>QPARTR5C34</t>
  </si>
  <si>
    <t>QPARTG5D34</t>
  </si>
  <si>
    <t>QPARTG3D1</t>
  </si>
  <si>
    <t>QPARTG3C1</t>
  </si>
  <si>
    <t>QPARTG5C34</t>
  </si>
  <si>
    <t>QPARTB3C1</t>
  </si>
  <si>
    <t>QPARTO3C1</t>
  </si>
  <si>
    <t>QPARTY3C1</t>
  </si>
  <si>
    <t>QPARTO5C34</t>
  </si>
  <si>
    <t>QPARTY3D1</t>
  </si>
  <si>
    <t>QPARTB5C34</t>
  </si>
  <si>
    <t>QPARTY5C34</t>
  </si>
  <si>
    <t>QPARTY5D34</t>
  </si>
  <si>
    <t>QPARTR5D342</t>
  </si>
  <si>
    <t>QPARTR3C1</t>
  </si>
  <si>
    <t>QPART1N4007</t>
  </si>
  <si>
    <t>QPARTSIG
MOSFET</t>
  </si>
  <si>
    <t>QPARTMOSFET</t>
  </si>
  <si>
    <t>QPART2N3904</t>
  </si>
  <si>
    <t>APART344</t>
  </si>
  <si>
    <t>APART6541</t>
  </si>
  <si>
    <t>LPART1G04</t>
  </si>
  <si>
    <t>LPART1G08</t>
  </si>
  <si>
    <t>LPART1G32</t>
  </si>
  <si>
    <t>LPART1G86</t>
  </si>
  <si>
    <t>LPART1G125</t>
  </si>
  <si>
    <t>LPART4051</t>
  </si>
  <si>
    <t>DPART6612</t>
  </si>
  <si>
    <t>DPART2003</t>
  </si>
  <si>
    <t>COMPONENT - N-Channel MOSFET (500mA - KR1)</t>
  </si>
  <si>
    <t>TRIMMERS (Resistive Potentiometers)</t>
  </si>
  <si>
    <t>Digikey
CKN9112DKR-ND</t>
  </si>
  <si>
    <t>QPARTSHTKY_
DIODE</t>
  </si>
  <si>
    <t>OTHER  PARTS</t>
  </si>
  <si>
    <t>MODULE - Digital Signal Voltage Level Converter</t>
  </si>
  <si>
    <t>COMPONENT - RED Blinking LED - Diffused (5mm)</t>
  </si>
  <si>
    <t>LAB SESSION NUMBER: 3</t>
  </si>
  <si>
    <t>TEAM NUMBER: 1</t>
  </si>
  <si>
    <t>Order #: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</si>
</sst>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15" x14ac:knownFonts="1">
    <font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b/>
      <sz val="16"/>
      <name val="Calibri"/>
      <family val="2"/>
      <scheme val="minor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rgb="FFFFC7CE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99"/>
      </patternFill>
    </fill>
  </fills>
  <borders count="3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6" fillId="4" borderId="0" applyNumberFormat="0" applyBorder="0" applyAlignment="0" applyProtection="0"/>
    <xf numFmtId="0" fontId="10" fillId="6" borderId="17" applyNumberFormat="0" applyAlignment="0" applyProtection="0"/>
  </cellStyleXfs>
  <cellXfs count="109">
    <xf numFmtId="0" fontId="0" fillId="0" borderId="0" xfId="0"/>
    <xf numFmtId="0" fontId="7" fillId="0" borderId="0" xfId="0" applyFont="1"/>
    <xf numFmtId="0" fontId="7" fillId="3" borderId="3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/>
    </xf>
    <xf numFmtId="0" fontId="7" fillId="3" borderId="3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vertical="center"/>
    </xf>
    <xf numFmtId="0" fontId="7" fillId="3" borderId="3" xfId="1" applyFont="1" applyFill="1" applyBorder="1" applyAlignment="1">
      <alignment vertical="center"/>
    </xf>
    <xf numFmtId="0" fontId="7" fillId="3" borderId="2" xfId="1" applyFont="1" applyFill="1" applyBorder="1" applyAlignment="1">
      <alignment horizontal="left" vertical="center" wrapText="1"/>
    </xf>
    <xf numFmtId="0" fontId="7" fillId="0" borderId="3" xfId="1" applyFont="1" applyFill="1" applyBorder="1" applyAlignment="1">
      <alignment horizontal="left" vertical="center" wrapText="1"/>
    </xf>
    <xf numFmtId="0" fontId="7" fillId="0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vertical="center" wrapText="1"/>
    </xf>
    <xf numFmtId="0" fontId="7" fillId="3" borderId="4" xfId="1" applyFont="1" applyFill="1" applyBorder="1" applyAlignment="1">
      <alignment vertical="center" wrapText="1"/>
    </xf>
    <xf numFmtId="0" fontId="7" fillId="0" borderId="9" xfId="0" applyFont="1" applyBorder="1"/>
    <xf numFmtId="0" fontId="7" fillId="0" borderId="0" xfId="0" applyFont="1" applyBorder="1"/>
    <xf numFmtId="0" fontId="7" fillId="3" borderId="10" xfId="1" applyFont="1" applyFill="1" applyBorder="1" applyAlignment="1">
      <alignment horizontal="center" vertical="center"/>
    </xf>
    <xf numFmtId="0" fontId="7" fillId="3" borderId="11" xfId="1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0" borderId="0" xfId="0" applyFont="1" applyAlignment="1">
      <alignment horizontal="center"/>
    </xf>
    <xf numFmtId="0" fontId="4" fillId="0" borderId="12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164" fontId="7" fillId="0" borderId="0" xfId="0" applyNumberFormat="1" applyFont="1"/>
    <xf numFmtId="0" fontId="7" fillId="0" borderId="3" xfId="1" applyFont="1" applyFill="1" applyBorder="1" applyAlignment="1">
      <alignment vertical="center" wrapText="1"/>
    </xf>
    <xf numFmtId="0" fontId="7" fillId="0" borderId="4" xfId="1" applyFont="1" applyFill="1" applyBorder="1" applyAlignment="1">
      <alignment horizontal="left" vertical="center"/>
    </xf>
    <xf numFmtId="0" fontId="7" fillId="0" borderId="10" xfId="1" applyFont="1" applyFill="1" applyBorder="1" applyAlignment="1">
      <alignment horizontal="center" vertical="center"/>
    </xf>
    <xf numFmtId="0" fontId="7" fillId="0" borderId="0" xfId="0" applyFont="1" applyFill="1"/>
    <xf numFmtId="0" fontId="7" fillId="0" borderId="10" xfId="0" applyFont="1" applyFill="1" applyBorder="1" applyAlignment="1">
      <alignment horizontal="center" vertical="center"/>
    </xf>
    <xf numFmtId="0" fontId="7" fillId="0" borderId="4" xfId="1" applyFont="1" applyFill="1" applyBorder="1" applyAlignment="1">
      <alignment vertical="center" wrapText="1"/>
    </xf>
    <xf numFmtId="0" fontId="6" fillId="0" borderId="10" xfId="2" applyFill="1" applyBorder="1" applyAlignment="1">
      <alignment horizontal="center" vertical="center"/>
    </xf>
    <xf numFmtId="0" fontId="6" fillId="0" borderId="0" xfId="2" applyFill="1"/>
    <xf numFmtId="0" fontId="11" fillId="0" borderId="3" xfId="2" applyFont="1" applyFill="1" applyBorder="1" applyAlignment="1">
      <alignment vertical="center" wrapText="1"/>
    </xf>
    <xf numFmtId="0" fontId="0" fillId="0" borderId="4" xfId="2" applyFont="1" applyFill="1" applyBorder="1" applyAlignment="1">
      <alignment vertical="center" wrapText="1"/>
    </xf>
    <xf numFmtId="0" fontId="10" fillId="0" borderId="0" xfId="3" applyFill="1" applyBorder="1"/>
    <xf numFmtId="0" fontId="7" fillId="0" borderId="0" xfId="0" applyFont="1" applyFill="1" applyBorder="1"/>
    <xf numFmtId="0" fontId="4" fillId="0" borderId="12" xfId="0" applyFont="1" applyFill="1" applyBorder="1" applyAlignment="1">
      <alignment horizontal="center" vertical="center" wrapText="1"/>
    </xf>
    <xf numFmtId="0" fontId="7" fillId="3" borderId="8" xfId="1" applyFont="1" applyFill="1" applyBorder="1" applyAlignment="1">
      <alignment horizontal="center" vertical="center" wrapText="1"/>
    </xf>
    <xf numFmtId="164" fontId="7" fillId="0" borderId="18" xfId="0" applyNumberFormat="1" applyFont="1" applyBorder="1" applyAlignment="1">
      <alignment horizontal="center" vertical="center"/>
    </xf>
    <xf numFmtId="0" fontId="12" fillId="0" borderId="5" xfId="0" applyFont="1" applyFill="1" applyBorder="1" applyAlignment="1">
      <alignment horizontal="center" vertical="center" wrapText="1"/>
    </xf>
    <xf numFmtId="0" fontId="7" fillId="0" borderId="8" xfId="1" applyFont="1" applyFill="1" applyBorder="1" applyAlignment="1">
      <alignment horizontal="center" vertical="center" wrapText="1"/>
    </xf>
    <xf numFmtId="164" fontId="7" fillId="3" borderId="18" xfId="1" applyNumberFormat="1" applyFont="1" applyFill="1" applyBorder="1" applyAlignment="1">
      <alignment horizontal="center" vertical="center"/>
    </xf>
    <xf numFmtId="164" fontId="7" fillId="0" borderId="18" xfId="1" applyNumberFormat="1" applyFont="1" applyFill="1" applyBorder="1" applyAlignment="1">
      <alignment horizontal="center" vertical="center"/>
    </xf>
    <xf numFmtId="0" fontId="7" fillId="3" borderId="22" xfId="1" applyFont="1" applyFill="1" applyBorder="1" applyAlignment="1">
      <alignment horizontal="center" vertical="center" wrapText="1"/>
    </xf>
    <xf numFmtId="164" fontId="7" fillId="0" borderId="18" xfId="0" applyNumberFormat="1" applyFont="1" applyFill="1" applyBorder="1" applyAlignment="1">
      <alignment horizontal="center" vertical="center"/>
    </xf>
    <xf numFmtId="0" fontId="0" fillId="0" borderId="8" xfId="2" applyFont="1" applyFill="1" applyBorder="1" applyAlignment="1">
      <alignment horizontal="center" vertical="center" wrapText="1"/>
    </xf>
    <xf numFmtId="164" fontId="11" fillId="0" borderId="18" xfId="2" applyNumberFormat="1" applyFont="1" applyFill="1" applyBorder="1" applyAlignment="1">
      <alignment horizontal="center" vertical="center"/>
    </xf>
    <xf numFmtId="0" fontId="4" fillId="0" borderId="0" xfId="1" applyFont="1" applyFill="1" applyBorder="1" applyAlignment="1">
      <alignment horizontal="center" vertical="center" wrapText="1"/>
    </xf>
    <xf numFmtId="164" fontId="7" fillId="3" borderId="23" xfId="1" applyNumberFormat="1" applyFont="1" applyFill="1" applyBorder="1" applyAlignment="1">
      <alignment horizontal="center" vertical="center"/>
    </xf>
    <xf numFmtId="0" fontId="7" fillId="3" borderId="25" xfId="1" applyFont="1" applyFill="1" applyBorder="1" applyAlignment="1">
      <alignment vertical="center" wrapText="1"/>
    </xf>
    <xf numFmtId="0" fontId="7" fillId="3" borderId="16" xfId="1" applyFont="1" applyFill="1" applyBorder="1" applyAlignment="1">
      <alignment horizontal="left" vertical="center" wrapText="1"/>
    </xf>
    <xf numFmtId="164" fontId="7" fillId="3" borderId="20" xfId="1" applyNumberFormat="1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/>
    </xf>
    <xf numFmtId="0" fontId="7" fillId="3" borderId="19" xfId="1" applyFont="1" applyFill="1" applyBorder="1" applyAlignment="1">
      <alignment horizontal="center" vertical="center" wrapText="1"/>
    </xf>
    <xf numFmtId="164" fontId="7" fillId="3" borderId="21" xfId="1" applyNumberFormat="1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7" fillId="3" borderId="26" xfId="1" applyFont="1" applyFill="1" applyBorder="1" applyAlignment="1">
      <alignment horizontal="left" vertical="center" wrapText="1"/>
    </xf>
    <xf numFmtId="0" fontId="7" fillId="3" borderId="27" xfId="1" applyFont="1" applyFill="1" applyBorder="1" applyAlignment="1">
      <alignment vertical="center" wrapText="1"/>
    </xf>
    <xf numFmtId="0" fontId="7" fillId="3" borderId="27" xfId="1" applyFont="1" applyFill="1" applyBorder="1" applyAlignment="1">
      <alignment horizontal="left" vertical="center" wrapText="1"/>
    </xf>
    <xf numFmtId="0" fontId="7" fillId="0" borderId="25" xfId="1" applyFont="1" applyFill="1" applyBorder="1" applyAlignment="1">
      <alignment horizontal="left" vertical="center" wrapText="1"/>
    </xf>
    <xf numFmtId="0" fontId="7" fillId="0" borderId="16" xfId="1" applyFont="1" applyFill="1" applyBorder="1" applyAlignment="1">
      <alignment horizontal="left" vertical="center" wrapText="1"/>
    </xf>
    <xf numFmtId="0" fontId="7" fillId="0" borderId="22" xfId="1" applyFont="1" applyFill="1" applyBorder="1" applyAlignment="1">
      <alignment horizontal="center" vertical="center" wrapText="1"/>
    </xf>
    <xf numFmtId="164" fontId="7" fillId="0" borderId="20" xfId="0" applyNumberFormat="1" applyFont="1" applyBorder="1" applyAlignment="1">
      <alignment horizontal="center" vertical="center"/>
    </xf>
    <xf numFmtId="164" fontId="7" fillId="0" borderId="20" xfId="0" applyNumberFormat="1" applyFont="1" applyFill="1" applyBorder="1" applyAlignment="1">
      <alignment horizontal="center" vertical="center"/>
    </xf>
    <xf numFmtId="0" fontId="7" fillId="0" borderId="26" xfId="1" applyFont="1" applyFill="1" applyBorder="1" applyAlignment="1">
      <alignment horizontal="left" vertical="center" wrapText="1"/>
    </xf>
    <xf numFmtId="0" fontId="7" fillId="0" borderId="27" xfId="1" applyFont="1" applyFill="1" applyBorder="1" applyAlignment="1">
      <alignment horizontal="left" vertical="center" wrapText="1"/>
    </xf>
    <xf numFmtId="0" fontId="7" fillId="0" borderId="19" xfId="1" applyFont="1" applyFill="1" applyBorder="1" applyAlignment="1">
      <alignment horizontal="center" vertical="center" wrapText="1"/>
    </xf>
    <xf numFmtId="164" fontId="7" fillId="0" borderId="21" xfId="0" applyNumberFormat="1" applyFont="1" applyBorder="1" applyAlignment="1">
      <alignment horizontal="center" vertical="center"/>
    </xf>
    <xf numFmtId="0" fontId="7" fillId="5" borderId="24" xfId="1" applyFont="1" applyFill="1" applyBorder="1" applyAlignment="1">
      <alignment horizontal="center" vertical="center" wrapText="1"/>
    </xf>
    <xf numFmtId="0" fontId="11" fillId="3" borderId="26" xfId="1" applyFont="1" applyFill="1" applyBorder="1" applyAlignment="1">
      <alignment vertical="center" wrapText="1"/>
    </xf>
    <xf numFmtId="164" fontId="7" fillId="0" borderId="24" xfId="0" applyNumberFormat="1" applyFont="1" applyBorder="1" applyAlignment="1">
      <alignment horizontal="center" vertical="center"/>
    </xf>
    <xf numFmtId="0" fontId="13" fillId="3" borderId="4" xfId="1" quotePrefix="1" applyFont="1" applyFill="1" applyBorder="1" applyAlignment="1">
      <alignment horizontal="center" vertical="center" wrapText="1"/>
    </xf>
    <xf numFmtId="0" fontId="13" fillId="3" borderId="4" xfId="1" applyFont="1" applyFill="1" applyBorder="1" applyAlignment="1">
      <alignment horizontal="center" vertical="center" wrapText="1"/>
    </xf>
    <xf numFmtId="0" fontId="13" fillId="0" borderId="4" xfId="1" applyFont="1" applyFill="1" applyBorder="1" applyAlignment="1">
      <alignment horizontal="center" vertical="center" wrapText="1"/>
    </xf>
    <xf numFmtId="0" fontId="14" fillId="0" borderId="4" xfId="2" applyFont="1" applyFill="1" applyBorder="1" applyAlignment="1">
      <alignment horizontal="center" vertical="center" wrapText="1"/>
    </xf>
    <xf numFmtId="0" fontId="4" fillId="0" borderId="9" xfId="1" applyFont="1" applyFill="1" applyBorder="1" applyAlignment="1">
      <alignment horizontal="center" vertical="center" wrapText="1"/>
    </xf>
    <xf numFmtId="2" fontId="4" fillId="0" borderId="12" xfId="0" applyNumberFormat="1" applyFont="1" applyBorder="1" applyAlignment="1">
      <alignment horizontal="center"/>
    </xf>
    <xf numFmtId="0" fontId="13" fillId="3" borderId="2" xfId="1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8" fillId="0" borderId="5" xfId="0" applyFont="1" applyBorder="1" applyAlignment="1">
      <alignment horizontal="center" vertical="center" wrapText="1"/>
    </xf>
    <xf numFmtId="0" fontId="8" fillId="0" borderId="6" xfId="0" applyFont="1" applyBorder="1" applyAlignment="1">
      <alignment horizontal="center" vertical="center" wrapText="1"/>
    </xf>
    <xf numFmtId="0" fontId="8" fillId="0" borderId="7" xfId="0" applyFont="1" applyBorder="1" applyAlignment="1">
      <alignment horizontal="center" vertical="center" wrapText="1"/>
    </xf>
    <xf numFmtId="0" fontId="7" fillId="0" borderId="12" xfId="0" applyFont="1" applyBorder="1" applyAlignment="1">
      <alignment horizontal="center" vertical="center"/>
    </xf>
    <xf numFmtId="0" fontId="3" fillId="5" borderId="4" xfId="1" applyFont="1" applyFill="1" applyBorder="1" applyAlignment="1">
      <alignment horizontal="center" vertical="center" wrapText="1"/>
    </xf>
    <xf numFmtId="0" fontId="3" fillId="5" borderId="27" xfId="1" applyFont="1" applyFill="1" applyBorder="1" applyAlignment="1">
      <alignment horizontal="center" vertical="center" wrapText="1"/>
    </xf>
    <xf numFmtId="0" fontId="3" fillId="5" borderId="8" xfId="1" applyFont="1" applyFill="1" applyBorder="1" applyAlignment="1">
      <alignment horizontal="center" vertical="center" wrapText="1"/>
    </xf>
    <xf numFmtId="0" fontId="3" fillId="5" borderId="18" xfId="1" applyFont="1" applyFill="1" applyBorder="1" applyAlignment="1">
      <alignment horizontal="center" vertical="center" wrapText="1"/>
    </xf>
    <xf numFmtId="0" fontId="3" fillId="5" borderId="24" xfId="1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0" fontId="5" fillId="5" borderId="18" xfId="0" applyFont="1" applyFill="1" applyBorder="1" applyAlignment="1">
      <alignment horizontal="center" vertical="center"/>
    </xf>
    <xf numFmtId="0" fontId="5" fillId="5" borderId="24" xfId="0" applyFont="1" applyFill="1" applyBorder="1" applyAlignment="1">
      <alignment horizontal="center" vertical="center"/>
    </xf>
    <xf numFmtId="0" fontId="9" fillId="5" borderId="8" xfId="0" applyFont="1" applyFill="1" applyBorder="1" applyAlignment="1">
      <alignment horizontal="center" vertical="center"/>
    </xf>
    <xf numFmtId="0" fontId="9" fillId="5" borderId="18" xfId="0" applyFont="1" applyFill="1" applyBorder="1" applyAlignment="1">
      <alignment horizontal="center" vertical="center"/>
    </xf>
    <xf numFmtId="0" fontId="9" fillId="5" borderId="24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5" fillId="5" borderId="27" xfId="0" applyFont="1" applyFill="1" applyBorder="1" applyAlignment="1">
      <alignment horizontal="center" vertical="center"/>
    </xf>
    <xf numFmtId="0" fontId="5" fillId="5" borderId="28" xfId="1" applyFont="1" applyFill="1" applyBorder="1" applyAlignment="1">
      <alignment horizontal="center" vertical="center" wrapText="1"/>
    </xf>
    <xf numFmtId="0" fontId="5" fillId="5" borderId="18" xfId="1" applyFont="1" applyFill="1" applyBorder="1" applyAlignment="1">
      <alignment horizontal="center" vertical="center" wrapText="1"/>
    </xf>
    <xf numFmtId="0" fontId="5" fillId="5" borderId="24" xfId="1" applyFont="1" applyFill="1" applyBorder="1" applyAlignment="1">
      <alignment horizontal="center" vertical="center" wrapText="1"/>
    </xf>
  </cellXfs>
  <cellStyles count="4">
    <cellStyle name="Bad" xfId="2" builtinId="27"/>
    <cellStyle name="Good" xfId="1" builtinId="26"/>
    <cellStyle name="Input" xfId="3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600075</xdr:colOff>
          <xdr:row>1</xdr:row>
          <xdr:rowOff>390525</xdr:rowOff>
        </xdr:from>
        <xdr:to>
          <xdr:col>14</xdr:col>
          <xdr:colOff>9525</xdr:colOff>
          <xdr:row>4</xdr:row>
          <xdr:rowOff>390525</xdr:rowOff>
        </xdr:to>
        <xdr:sp macro="" textlink="">
          <xdr:nvSpPr>
            <xdr:cNvPr id="1025" name="Button 1" descr="GENERA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SHOPPING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00"/>
  <sheetViews>
    <sheetView tabSelected="1" zoomScale="115" zoomScaleNormal="115" workbookViewId="0">
      <selection activeCell="F27" sqref="F27"/>
    </sheetView>
  </sheetViews>
  <sheetFormatPr defaultColWidth="8.7109375" defaultRowHeight="15" x14ac:dyDescent="0.25"/>
  <cols>
    <col min="1" max="1" width="26.42578125" style="1" customWidth="1"/>
    <col min="2" max="2" width="23.7109375" style="1" customWidth="1"/>
    <col min="3" max="3" width="15.42578125" style="1" customWidth="1"/>
    <col min="4" max="4" width="10.28515625" style="1" customWidth="1"/>
    <col min="5" max="5" width="17.140625" style="18" customWidth="1"/>
    <col min="6" max="6" width="11.7109375" style="21" customWidth="1"/>
    <col min="7" max="16384" width="8.7109375" style="1"/>
  </cols>
  <sheetData>
    <row r="1" spans="1:14" ht="42" customHeight="1" thickBot="1" x14ac:dyDescent="0.3">
      <c r="A1" s="83" t="s">
        <v>99</v>
      </c>
      <c r="B1" s="84"/>
      <c r="C1" s="84"/>
      <c r="D1" s="84"/>
      <c r="E1" s="84"/>
      <c r="F1" s="85"/>
      <c r="H1" s="82" t="s">
        <v>79</v>
      </c>
      <c r="I1" s="82"/>
      <c r="J1" s="82"/>
      <c r="K1" s="82"/>
      <c r="L1" s="82"/>
      <c r="M1" s="82"/>
      <c r="N1" s="82"/>
    </row>
    <row r="2" spans="1:14" ht="32.1" customHeight="1" thickBot="1" x14ac:dyDescent="0.3">
      <c r="A2" s="86" t="s">
        <v>245</v>
      </c>
      <c r="B2" s="86"/>
      <c r="C2" s="95" t="s">
        <v>246</v>
      </c>
      <c r="D2" s="96"/>
      <c r="E2" s="97"/>
      <c r="F2" s="22" t="s">
        <v>247</v>
      </c>
    </row>
    <row r="3" spans="1:14" ht="41.1" customHeight="1" thickBot="1" x14ac:dyDescent="0.3">
      <c r="A3" s="19" t="s">
        <v>1</v>
      </c>
      <c r="B3" s="19" t="s">
        <v>2</v>
      </c>
      <c r="C3" s="39" t="s">
        <v>180</v>
      </c>
      <c r="D3" s="42" t="s">
        <v>181</v>
      </c>
      <c r="E3" s="20" t="s">
        <v>3</v>
      </c>
      <c r="F3" s="19" t="s">
        <v>4</v>
      </c>
    </row>
    <row r="4" spans="1:14" ht="25.5" customHeight="1" x14ac:dyDescent="0.25">
      <c r="A4" s="92" t="s">
        <v>0</v>
      </c>
      <c r="B4" s="93"/>
      <c r="C4" s="93"/>
      <c r="D4" s="93"/>
      <c r="E4" s="93"/>
      <c r="F4" s="94"/>
    </row>
    <row r="5" spans="1:14" ht="33" customHeight="1" x14ac:dyDescent="0.25">
      <c r="A5" s="2" t="s">
        <v>120</v>
      </c>
      <c r="B5" s="3" t="s">
        <v>5</v>
      </c>
      <c r="C5" s="40"/>
      <c r="D5" s="75">
        <v>4915913</v>
      </c>
      <c r="E5" s="74">
        <v>9.0500000000000007</v>
      </c>
      <c r="F5" s="17"/>
    </row>
    <row r="6" spans="1:14" ht="46.5" customHeight="1" x14ac:dyDescent="0.25">
      <c r="A6" s="2" t="s">
        <v>121</v>
      </c>
      <c r="B6" s="5" t="s">
        <v>6</v>
      </c>
      <c r="C6" s="40"/>
      <c r="D6" s="76">
        <v>4915922</v>
      </c>
      <c r="E6" s="74">
        <v>4.25</v>
      </c>
      <c r="F6" s="17"/>
    </row>
    <row r="7" spans="1:14" ht="23.1" customHeight="1" x14ac:dyDescent="0.25">
      <c r="A7" s="89" t="s">
        <v>7</v>
      </c>
      <c r="B7" s="90"/>
      <c r="C7" s="90"/>
      <c r="D7" s="90"/>
      <c r="E7" s="90"/>
      <c r="F7" s="91"/>
      <c r="I7" s="26"/>
    </row>
    <row r="8" spans="1:14" ht="54.75" customHeight="1" x14ac:dyDescent="0.25">
      <c r="A8" s="55" t="s">
        <v>122</v>
      </c>
      <c r="B8" s="56" t="s">
        <v>8</v>
      </c>
      <c r="C8" s="57"/>
      <c r="D8" s="76">
        <v>4915931</v>
      </c>
      <c r="E8" s="58">
        <v>3.4</v>
      </c>
      <c r="F8" s="15"/>
    </row>
    <row r="9" spans="1:14" s="30" customFormat="1" ht="51.6" customHeight="1" x14ac:dyDescent="0.25">
      <c r="A9" s="27" t="s">
        <v>243</v>
      </c>
      <c r="B9" s="28" t="s">
        <v>80</v>
      </c>
      <c r="C9" s="43"/>
      <c r="D9" s="77">
        <v>4923899</v>
      </c>
      <c r="E9" s="45">
        <v>4.7</v>
      </c>
      <c r="F9" s="29"/>
      <c r="I9" s="37"/>
    </row>
    <row r="10" spans="1:14" ht="43.5" customHeight="1" x14ac:dyDescent="0.25">
      <c r="A10" s="4" t="s">
        <v>123</v>
      </c>
      <c r="B10" s="3" t="s">
        <v>9</v>
      </c>
      <c r="C10" s="40"/>
      <c r="D10" s="76">
        <v>4915940</v>
      </c>
      <c r="E10" s="44">
        <v>7.15</v>
      </c>
      <c r="F10" s="15"/>
    </row>
    <row r="11" spans="1:14" ht="47.1" customHeight="1" x14ac:dyDescent="0.25">
      <c r="A11" s="4" t="s">
        <v>92</v>
      </c>
      <c r="B11" s="5" t="s">
        <v>10</v>
      </c>
      <c r="C11" s="40"/>
      <c r="D11" s="76">
        <v>4916796</v>
      </c>
      <c r="E11" s="44">
        <v>2.2999999999999998</v>
      </c>
      <c r="F11" s="15"/>
    </row>
    <row r="12" spans="1:14" ht="34.5" customHeight="1" x14ac:dyDescent="0.25">
      <c r="A12" s="52" t="s">
        <v>124</v>
      </c>
      <c r="B12" s="53" t="s">
        <v>11</v>
      </c>
      <c r="C12" s="46"/>
      <c r="D12" s="76">
        <v>4915959</v>
      </c>
      <c r="E12" s="54">
        <v>4.5</v>
      </c>
      <c r="F12" s="15"/>
    </row>
    <row r="13" spans="1:14" ht="24" customHeight="1" x14ac:dyDescent="0.25">
      <c r="A13" s="87" t="s">
        <v>12</v>
      </c>
      <c r="B13" s="87"/>
      <c r="C13" s="87"/>
      <c r="D13" s="88"/>
      <c r="E13" s="87"/>
      <c r="F13" s="72"/>
    </row>
    <row r="14" spans="1:14" ht="48" customHeight="1" x14ac:dyDescent="0.25">
      <c r="A14" s="73" t="s">
        <v>125</v>
      </c>
      <c r="B14" s="62" t="s">
        <v>13</v>
      </c>
      <c r="C14" s="57"/>
      <c r="D14" s="76">
        <v>4917293</v>
      </c>
      <c r="E14" s="58">
        <v>24.35</v>
      </c>
      <c r="F14" s="15"/>
    </row>
    <row r="15" spans="1:14" ht="51" customHeight="1" x14ac:dyDescent="0.25">
      <c r="A15" s="4" t="s">
        <v>126</v>
      </c>
      <c r="B15" s="5" t="s">
        <v>14</v>
      </c>
      <c r="C15" s="40"/>
      <c r="D15" s="76">
        <v>4915968</v>
      </c>
      <c r="E15" s="44">
        <v>14.05</v>
      </c>
      <c r="F15" s="15"/>
    </row>
    <row r="16" spans="1:14" ht="34.5" customHeight="1" x14ac:dyDescent="0.25">
      <c r="A16" s="7" t="s">
        <v>93</v>
      </c>
      <c r="B16" s="3" t="s">
        <v>15</v>
      </c>
      <c r="C16" s="40"/>
      <c r="D16" s="76">
        <v>4915977</v>
      </c>
      <c r="E16" s="44">
        <v>6</v>
      </c>
      <c r="F16" s="15"/>
    </row>
    <row r="17" spans="1:9" ht="36" customHeight="1" x14ac:dyDescent="0.25">
      <c r="A17" s="2" t="s">
        <v>94</v>
      </c>
      <c r="B17" s="6" t="s">
        <v>16</v>
      </c>
      <c r="C17" s="40"/>
      <c r="D17" s="76">
        <v>4915986</v>
      </c>
      <c r="E17" s="44">
        <v>3.75</v>
      </c>
      <c r="F17" s="15"/>
    </row>
    <row r="18" spans="1:9" ht="35.1" customHeight="1" x14ac:dyDescent="0.25">
      <c r="A18" s="2" t="s">
        <v>95</v>
      </c>
      <c r="B18" s="5" t="s">
        <v>17</v>
      </c>
      <c r="C18" s="40"/>
      <c r="D18" s="76">
        <v>4916741</v>
      </c>
      <c r="E18" s="44">
        <v>2.2999999999999998</v>
      </c>
      <c r="F18" s="15"/>
    </row>
    <row r="19" spans="1:9" ht="38.25" customHeight="1" x14ac:dyDescent="0.25">
      <c r="A19" s="4" t="s">
        <v>96</v>
      </c>
      <c r="B19" s="5" t="s">
        <v>18</v>
      </c>
      <c r="C19" s="40"/>
      <c r="D19" s="76">
        <v>4916769</v>
      </c>
      <c r="E19" s="44">
        <v>3.5</v>
      </c>
      <c r="F19" s="15"/>
    </row>
    <row r="20" spans="1:9" s="30" customFormat="1" ht="38.450000000000003" customHeight="1" x14ac:dyDescent="0.25">
      <c r="A20" s="27" t="s">
        <v>97</v>
      </c>
      <c r="B20" s="28" t="s">
        <v>82</v>
      </c>
      <c r="C20" s="43"/>
      <c r="D20" s="77">
        <v>4899825</v>
      </c>
      <c r="E20" s="45">
        <v>2.4</v>
      </c>
      <c r="F20" s="29"/>
      <c r="I20" s="37"/>
    </row>
    <row r="21" spans="1:9" s="30" customFormat="1" ht="43.5" customHeight="1" x14ac:dyDescent="0.25">
      <c r="A21" s="27" t="s">
        <v>127</v>
      </c>
      <c r="B21" s="28" t="s">
        <v>83</v>
      </c>
      <c r="C21" s="43"/>
      <c r="D21" s="77">
        <v>4923933</v>
      </c>
      <c r="E21" s="45">
        <v>2.35</v>
      </c>
      <c r="F21" s="29"/>
      <c r="I21" s="37"/>
    </row>
    <row r="22" spans="1:9" s="30" customFormat="1" ht="35.450000000000003" customHeight="1" x14ac:dyDescent="0.25">
      <c r="A22" s="63" t="s">
        <v>98</v>
      </c>
      <c r="B22" s="64" t="s">
        <v>81</v>
      </c>
      <c r="C22" s="65"/>
      <c r="D22" s="77">
        <v>4923915</v>
      </c>
      <c r="E22" s="67">
        <v>4.55</v>
      </c>
      <c r="F22" s="31"/>
      <c r="I22" s="37"/>
    </row>
    <row r="23" spans="1:9" ht="29.45" customHeight="1" x14ac:dyDescent="0.25">
      <c r="A23" s="104" t="s">
        <v>19</v>
      </c>
      <c r="B23" s="104"/>
      <c r="C23" s="104"/>
      <c r="D23" s="105"/>
      <c r="E23" s="104"/>
      <c r="F23" s="59"/>
      <c r="I23" s="38"/>
    </row>
    <row r="24" spans="1:9" ht="48.6" customHeight="1" x14ac:dyDescent="0.25">
      <c r="A24" s="68" t="s">
        <v>107</v>
      </c>
      <c r="B24" s="69" t="s">
        <v>20</v>
      </c>
      <c r="C24" s="70" t="s">
        <v>182</v>
      </c>
      <c r="D24" s="77">
        <v>4916009</v>
      </c>
      <c r="E24" s="71">
        <v>2</v>
      </c>
      <c r="F24" s="17"/>
      <c r="I24" s="38"/>
    </row>
    <row r="25" spans="1:9" ht="61.5" customHeight="1" x14ac:dyDescent="0.25">
      <c r="A25" s="9" t="s">
        <v>128</v>
      </c>
      <c r="B25" s="10" t="s">
        <v>21</v>
      </c>
      <c r="C25" s="43" t="s">
        <v>183</v>
      </c>
      <c r="D25" s="77">
        <v>4916018</v>
      </c>
      <c r="E25" s="41">
        <v>0.6</v>
      </c>
      <c r="F25" s="17"/>
      <c r="I25" s="38"/>
    </row>
    <row r="26" spans="1:9" s="30" customFormat="1" ht="48.6" customHeight="1" x14ac:dyDescent="0.25">
      <c r="A26" s="9" t="s">
        <v>108</v>
      </c>
      <c r="B26" s="10" t="s">
        <v>84</v>
      </c>
      <c r="C26" s="43" t="s">
        <v>85</v>
      </c>
      <c r="D26" s="77">
        <v>4923942</v>
      </c>
      <c r="E26" s="47">
        <v>1.5</v>
      </c>
      <c r="F26" s="31">
        <v>1</v>
      </c>
      <c r="I26" s="37"/>
    </row>
    <row r="27" spans="1:9" ht="48.6" customHeight="1" x14ac:dyDescent="0.25">
      <c r="A27" s="9" t="s">
        <v>109</v>
      </c>
      <c r="B27" s="10" t="s">
        <v>22</v>
      </c>
      <c r="C27" s="43" t="s">
        <v>184</v>
      </c>
      <c r="D27" s="77">
        <v>4916036</v>
      </c>
      <c r="E27" s="41">
        <v>0.7</v>
      </c>
      <c r="F27" s="17"/>
      <c r="I27" s="30"/>
    </row>
    <row r="28" spans="1:9" s="30" customFormat="1" ht="48.6" customHeight="1" x14ac:dyDescent="0.25">
      <c r="A28" s="9" t="s">
        <v>129</v>
      </c>
      <c r="B28" s="10" t="s">
        <v>240</v>
      </c>
      <c r="C28" s="43" t="s">
        <v>86</v>
      </c>
      <c r="D28" s="77">
        <v>4924001</v>
      </c>
      <c r="E28" s="47">
        <v>0.55000000000000004</v>
      </c>
      <c r="F28" s="31"/>
      <c r="I28" s="37"/>
    </row>
    <row r="29" spans="1:9" ht="48.95" customHeight="1" x14ac:dyDescent="0.25">
      <c r="A29" s="9" t="s">
        <v>110</v>
      </c>
      <c r="B29" s="10" t="s">
        <v>23</v>
      </c>
      <c r="C29" s="43"/>
      <c r="D29" s="77">
        <v>4916045</v>
      </c>
      <c r="E29" s="41">
        <v>1.4</v>
      </c>
      <c r="F29" s="17"/>
    </row>
    <row r="30" spans="1:9" ht="48.95" customHeight="1" x14ac:dyDescent="0.25">
      <c r="A30" s="9" t="s">
        <v>111</v>
      </c>
      <c r="B30" s="10" t="s">
        <v>24</v>
      </c>
      <c r="C30" s="43" t="s">
        <v>185</v>
      </c>
      <c r="D30" s="77">
        <v>4916054</v>
      </c>
      <c r="E30" s="41">
        <v>0.95</v>
      </c>
      <c r="F30" s="17"/>
    </row>
    <row r="31" spans="1:9" ht="54.6" customHeight="1" x14ac:dyDescent="0.25">
      <c r="A31" s="9" t="s">
        <v>112</v>
      </c>
      <c r="B31" s="10" t="s">
        <v>25</v>
      </c>
      <c r="C31" s="43" t="s">
        <v>186</v>
      </c>
      <c r="D31" s="77">
        <v>4916063</v>
      </c>
      <c r="E31" s="41">
        <v>2.15</v>
      </c>
      <c r="F31" s="17"/>
    </row>
    <row r="32" spans="1:9" ht="60.95" customHeight="1" x14ac:dyDescent="0.25">
      <c r="A32" s="63" t="s">
        <v>113</v>
      </c>
      <c r="B32" s="64" t="s">
        <v>26</v>
      </c>
      <c r="C32" s="65" t="s">
        <v>187</v>
      </c>
      <c r="D32" s="77">
        <v>4916072</v>
      </c>
      <c r="E32" s="66">
        <v>3.6</v>
      </c>
      <c r="F32" s="17"/>
    </row>
    <row r="33" spans="1:6" ht="27" customHeight="1" x14ac:dyDescent="0.25">
      <c r="A33" s="98" t="s">
        <v>78</v>
      </c>
      <c r="B33" s="99"/>
      <c r="C33" s="99"/>
      <c r="D33" s="99"/>
      <c r="E33" s="99"/>
      <c r="F33" s="100"/>
    </row>
    <row r="34" spans="1:6" ht="45.75" customHeight="1" x14ac:dyDescent="0.25">
      <c r="A34" s="60" t="s">
        <v>130</v>
      </c>
      <c r="B34" s="62" t="s">
        <v>27</v>
      </c>
      <c r="C34" s="57" t="s">
        <v>188</v>
      </c>
      <c r="D34" s="76">
        <v>4916081</v>
      </c>
      <c r="E34" s="58">
        <v>0.25</v>
      </c>
      <c r="F34" s="15">
        <v>2</v>
      </c>
    </row>
    <row r="35" spans="1:6" ht="46.5" customHeight="1" x14ac:dyDescent="0.25">
      <c r="A35" s="2" t="s">
        <v>131</v>
      </c>
      <c r="B35" s="5" t="s">
        <v>28</v>
      </c>
      <c r="C35" s="40" t="s">
        <v>189</v>
      </c>
      <c r="D35" s="76">
        <v>4916090</v>
      </c>
      <c r="E35" s="44">
        <v>0.4</v>
      </c>
      <c r="F35" s="15">
        <v>2</v>
      </c>
    </row>
    <row r="36" spans="1:6" ht="46.5" customHeight="1" x14ac:dyDescent="0.25">
      <c r="A36" s="2" t="s">
        <v>132</v>
      </c>
      <c r="B36" s="5" t="s">
        <v>29</v>
      </c>
      <c r="C36" s="40" t="s">
        <v>190</v>
      </c>
      <c r="D36" s="76">
        <v>4916107</v>
      </c>
      <c r="E36" s="44">
        <v>0.4</v>
      </c>
      <c r="F36" s="15"/>
    </row>
    <row r="37" spans="1:6" ht="44.25" customHeight="1" x14ac:dyDescent="0.25">
      <c r="A37" s="2" t="s">
        <v>133</v>
      </c>
      <c r="B37" s="5" t="s">
        <v>30</v>
      </c>
      <c r="C37" s="40" t="s">
        <v>191</v>
      </c>
      <c r="D37" s="76">
        <v>4916116</v>
      </c>
      <c r="E37" s="44">
        <v>0.15</v>
      </c>
      <c r="F37" s="15">
        <v>5</v>
      </c>
    </row>
    <row r="38" spans="1:6" ht="42" customHeight="1" x14ac:dyDescent="0.25">
      <c r="A38" s="2" t="s">
        <v>134</v>
      </c>
      <c r="B38" s="5" t="s">
        <v>31</v>
      </c>
      <c r="C38" s="40" t="s">
        <v>192</v>
      </c>
      <c r="D38" s="76">
        <v>4916778</v>
      </c>
      <c r="E38" s="44">
        <v>0.03</v>
      </c>
      <c r="F38" s="15">
        <v>1</v>
      </c>
    </row>
    <row r="39" spans="1:6" ht="46.5" customHeight="1" x14ac:dyDescent="0.25">
      <c r="A39" s="2" t="s">
        <v>135</v>
      </c>
      <c r="B39" s="5" t="s">
        <v>100</v>
      </c>
      <c r="C39" s="40" t="s">
        <v>193</v>
      </c>
      <c r="D39" s="76">
        <v>4916787</v>
      </c>
      <c r="E39" s="44">
        <v>0.02</v>
      </c>
      <c r="F39" s="15">
        <v>1</v>
      </c>
    </row>
    <row r="40" spans="1:6" ht="48" customHeight="1" x14ac:dyDescent="0.25">
      <c r="A40" s="2" t="s">
        <v>136</v>
      </c>
      <c r="B40" s="5" t="s">
        <v>101</v>
      </c>
      <c r="C40" s="40" t="s">
        <v>194</v>
      </c>
      <c r="D40" s="76">
        <v>4916803</v>
      </c>
      <c r="E40" s="44">
        <v>0.03</v>
      </c>
      <c r="F40" s="15">
        <v>1</v>
      </c>
    </row>
    <row r="41" spans="1:6" ht="48.75" customHeight="1" x14ac:dyDescent="0.25">
      <c r="A41" s="2" t="s">
        <v>137</v>
      </c>
      <c r="B41" s="5" t="s">
        <v>32</v>
      </c>
      <c r="C41" s="40" t="s">
        <v>195</v>
      </c>
      <c r="D41" s="76">
        <v>4916812</v>
      </c>
      <c r="E41" s="44">
        <v>0.02</v>
      </c>
      <c r="F41" s="15">
        <v>4</v>
      </c>
    </row>
    <row r="42" spans="1:6" ht="42" customHeight="1" x14ac:dyDescent="0.25">
      <c r="A42" s="2" t="s">
        <v>138</v>
      </c>
      <c r="B42" s="5" t="s">
        <v>33</v>
      </c>
      <c r="C42" s="40" t="s">
        <v>196</v>
      </c>
      <c r="D42" s="76">
        <v>4916821</v>
      </c>
      <c r="E42" s="44">
        <v>0.02</v>
      </c>
      <c r="F42" s="15">
        <v>2</v>
      </c>
    </row>
    <row r="43" spans="1:6" ht="42.75" customHeight="1" x14ac:dyDescent="0.25">
      <c r="A43" s="2" t="s">
        <v>139</v>
      </c>
      <c r="B43" s="5" t="s">
        <v>103</v>
      </c>
      <c r="C43" s="40" t="s">
        <v>197</v>
      </c>
      <c r="D43" s="76">
        <v>4916830</v>
      </c>
      <c r="E43" s="44">
        <v>0.03</v>
      </c>
      <c r="F43" s="15"/>
    </row>
    <row r="44" spans="1:6" ht="48.75" customHeight="1" x14ac:dyDescent="0.25">
      <c r="A44" s="2" t="s">
        <v>140</v>
      </c>
      <c r="B44" s="5" t="s">
        <v>102</v>
      </c>
      <c r="C44" s="40" t="s">
        <v>198</v>
      </c>
      <c r="D44" s="76">
        <v>4916849</v>
      </c>
      <c r="E44" s="44">
        <v>0.02</v>
      </c>
      <c r="F44" s="15">
        <v>2</v>
      </c>
    </row>
    <row r="45" spans="1:6" ht="43.5" customHeight="1" x14ac:dyDescent="0.25">
      <c r="A45" s="2" t="s">
        <v>141</v>
      </c>
      <c r="B45" s="5" t="s">
        <v>104</v>
      </c>
      <c r="C45" s="40" t="s">
        <v>199</v>
      </c>
      <c r="D45" s="76">
        <v>4916858</v>
      </c>
      <c r="E45" s="44">
        <v>0.02</v>
      </c>
      <c r="F45" s="15"/>
    </row>
    <row r="46" spans="1:6" ht="28.5" customHeight="1" x14ac:dyDescent="0.25">
      <c r="A46" s="106" t="s">
        <v>239</v>
      </c>
      <c r="B46" s="107"/>
      <c r="C46" s="107"/>
      <c r="D46" s="107"/>
      <c r="E46" s="107"/>
      <c r="F46" s="108"/>
    </row>
    <row r="47" spans="1:6" ht="42" customHeight="1" x14ac:dyDescent="0.25">
      <c r="A47" s="4" t="s">
        <v>142</v>
      </c>
      <c r="B47" s="5" t="s">
        <v>34</v>
      </c>
      <c r="C47" s="40" t="s">
        <v>200</v>
      </c>
      <c r="D47" s="76">
        <v>4916125</v>
      </c>
      <c r="E47" s="44">
        <v>0.3</v>
      </c>
      <c r="F47" s="15"/>
    </row>
    <row r="48" spans="1:6" ht="42.75" customHeight="1" x14ac:dyDescent="0.25">
      <c r="A48" s="4" t="s">
        <v>143</v>
      </c>
      <c r="B48" s="5" t="s">
        <v>35</v>
      </c>
      <c r="C48" s="40" t="s">
        <v>201</v>
      </c>
      <c r="D48" s="76">
        <v>4916134</v>
      </c>
      <c r="E48" s="44">
        <v>0.3</v>
      </c>
      <c r="F48" s="15"/>
    </row>
    <row r="49" spans="1:9" ht="48" customHeight="1" x14ac:dyDescent="0.25">
      <c r="A49" s="4" t="s">
        <v>144</v>
      </c>
      <c r="B49" s="5" t="s">
        <v>36</v>
      </c>
      <c r="C49" s="40" t="s">
        <v>202</v>
      </c>
      <c r="D49" s="76">
        <v>4916143</v>
      </c>
      <c r="E49" s="44">
        <v>0.3</v>
      </c>
      <c r="F49" s="15"/>
    </row>
    <row r="50" spans="1:9" ht="30.6" customHeight="1" x14ac:dyDescent="0.25">
      <c r="A50" s="106" t="s">
        <v>37</v>
      </c>
      <c r="B50" s="107"/>
      <c r="C50" s="107"/>
      <c r="D50" s="107"/>
      <c r="E50" s="107"/>
      <c r="F50" s="108"/>
    </row>
    <row r="51" spans="1:9" ht="47.25" customHeight="1" x14ac:dyDescent="0.25">
      <c r="A51" s="4" t="s">
        <v>150</v>
      </c>
      <c r="B51" s="5" t="s">
        <v>38</v>
      </c>
      <c r="C51" s="40" t="s">
        <v>203</v>
      </c>
      <c r="D51" s="76">
        <v>4916205</v>
      </c>
      <c r="E51" s="44">
        <v>0.85</v>
      </c>
      <c r="F51" s="15"/>
    </row>
    <row r="52" spans="1:9" s="30" customFormat="1" ht="42.75" customHeight="1" x14ac:dyDescent="0.25">
      <c r="A52" s="27" t="s">
        <v>145</v>
      </c>
      <c r="B52" s="10" t="s">
        <v>87</v>
      </c>
      <c r="C52" s="43" t="s">
        <v>88</v>
      </c>
      <c r="D52" s="77">
        <v>4924010</v>
      </c>
      <c r="E52" s="45">
        <v>0.65</v>
      </c>
      <c r="F52" s="29">
        <v>3</v>
      </c>
      <c r="I52" s="37"/>
    </row>
    <row r="53" spans="1:9" s="30" customFormat="1" ht="35.450000000000003" customHeight="1" x14ac:dyDescent="0.25">
      <c r="A53" s="27" t="s">
        <v>146</v>
      </c>
      <c r="B53" s="10" t="s">
        <v>89</v>
      </c>
      <c r="C53" s="43" t="s">
        <v>90</v>
      </c>
      <c r="D53" s="77">
        <v>4924029</v>
      </c>
      <c r="E53" s="45">
        <v>0.5</v>
      </c>
      <c r="F53" s="29">
        <v>4</v>
      </c>
      <c r="I53" s="37"/>
    </row>
    <row r="54" spans="1:9" ht="45" customHeight="1" x14ac:dyDescent="0.25">
      <c r="A54" s="4" t="s">
        <v>147</v>
      </c>
      <c r="B54" s="5" t="s">
        <v>39</v>
      </c>
      <c r="C54" s="40" t="s">
        <v>204</v>
      </c>
      <c r="D54" s="76">
        <v>4916223</v>
      </c>
      <c r="E54" s="44">
        <v>0.3</v>
      </c>
      <c r="F54" s="15"/>
    </row>
    <row r="55" spans="1:9" ht="42" customHeight="1" x14ac:dyDescent="0.25">
      <c r="A55" s="4" t="s">
        <v>148</v>
      </c>
      <c r="B55" s="5" t="s">
        <v>40</v>
      </c>
      <c r="C55" s="40" t="s">
        <v>205</v>
      </c>
      <c r="D55" s="76">
        <v>4916232</v>
      </c>
      <c r="E55" s="44">
        <v>0.4</v>
      </c>
      <c r="F55" s="15"/>
    </row>
    <row r="56" spans="1:9" ht="33.950000000000003" customHeight="1" x14ac:dyDescent="0.25">
      <c r="A56" s="4" t="s">
        <v>149</v>
      </c>
      <c r="B56" s="5" t="s">
        <v>41</v>
      </c>
      <c r="C56" s="40" t="s">
        <v>206</v>
      </c>
      <c r="D56" s="76">
        <v>4916241</v>
      </c>
      <c r="E56" s="44">
        <v>0.3</v>
      </c>
      <c r="F56" s="15">
        <v>2</v>
      </c>
    </row>
    <row r="57" spans="1:9" ht="59.25" customHeight="1" x14ac:dyDescent="0.25">
      <c r="A57" s="52" t="s">
        <v>114</v>
      </c>
      <c r="B57" s="53" t="s">
        <v>42</v>
      </c>
      <c r="C57" s="46"/>
      <c r="D57" s="76">
        <v>4916278</v>
      </c>
      <c r="E57" s="54">
        <v>0.15</v>
      </c>
      <c r="F57" s="15"/>
    </row>
    <row r="58" spans="1:9" ht="22.5" customHeight="1" x14ac:dyDescent="0.25">
      <c r="A58" s="98" t="s">
        <v>43</v>
      </c>
      <c r="B58" s="99"/>
      <c r="C58" s="99"/>
      <c r="D58" s="99"/>
      <c r="E58" s="99"/>
      <c r="F58" s="100"/>
    </row>
    <row r="59" spans="1:9" ht="31.5" customHeight="1" x14ac:dyDescent="0.25">
      <c r="A59" s="55" t="s">
        <v>115</v>
      </c>
      <c r="B59" s="62" t="s">
        <v>44</v>
      </c>
      <c r="C59" s="57"/>
      <c r="D59" s="76">
        <v>4916287</v>
      </c>
      <c r="E59" s="58">
        <v>0.85</v>
      </c>
      <c r="F59" s="15"/>
    </row>
    <row r="60" spans="1:9" ht="30" x14ac:dyDescent="0.25">
      <c r="A60" s="4" t="s">
        <v>163</v>
      </c>
      <c r="B60" s="5" t="s">
        <v>45</v>
      </c>
      <c r="C60" s="40" t="s">
        <v>207</v>
      </c>
      <c r="D60" s="76">
        <v>4916296</v>
      </c>
      <c r="E60" s="44">
        <v>0.4</v>
      </c>
      <c r="F60" s="15"/>
    </row>
    <row r="61" spans="1:9" ht="42" customHeight="1" x14ac:dyDescent="0.25">
      <c r="A61" s="4" t="s">
        <v>164</v>
      </c>
      <c r="B61" s="5" t="s">
        <v>46</v>
      </c>
      <c r="C61" s="40" t="s">
        <v>208</v>
      </c>
      <c r="D61" s="76">
        <v>4916303</v>
      </c>
      <c r="E61" s="44">
        <v>0.4</v>
      </c>
      <c r="F61" s="15"/>
    </row>
    <row r="62" spans="1:9" ht="42" customHeight="1" x14ac:dyDescent="0.25">
      <c r="A62" s="4" t="s">
        <v>165</v>
      </c>
      <c r="B62" s="5" t="s">
        <v>47</v>
      </c>
      <c r="C62" s="40" t="s">
        <v>209</v>
      </c>
      <c r="D62" s="76">
        <v>4916312</v>
      </c>
      <c r="E62" s="44">
        <v>0.4</v>
      </c>
      <c r="F62" s="15"/>
    </row>
    <row r="63" spans="1:9" ht="36.75" customHeight="1" x14ac:dyDescent="0.25">
      <c r="A63" s="4" t="s">
        <v>166</v>
      </c>
      <c r="B63" s="5" t="s">
        <v>48</v>
      </c>
      <c r="C63" s="40" t="s">
        <v>210</v>
      </c>
      <c r="D63" s="76">
        <v>4916321</v>
      </c>
      <c r="E63" s="44">
        <v>0.4</v>
      </c>
      <c r="F63" s="15"/>
    </row>
    <row r="64" spans="1:9" ht="39" customHeight="1" x14ac:dyDescent="0.25">
      <c r="A64" s="4" t="s">
        <v>151</v>
      </c>
      <c r="B64" s="5" t="s">
        <v>49</v>
      </c>
      <c r="C64" s="40" t="s">
        <v>211</v>
      </c>
      <c r="D64" s="76">
        <v>4916330</v>
      </c>
      <c r="E64" s="44">
        <v>0.4</v>
      </c>
      <c r="F64" s="15"/>
    </row>
    <row r="65" spans="1:9" ht="38.25" customHeight="1" x14ac:dyDescent="0.25">
      <c r="A65" s="4" t="s">
        <v>152</v>
      </c>
      <c r="B65" s="5" t="s">
        <v>50</v>
      </c>
      <c r="C65" s="40" t="s">
        <v>212</v>
      </c>
      <c r="D65" s="76">
        <v>4916349</v>
      </c>
      <c r="E65" s="44">
        <v>0.4</v>
      </c>
      <c r="F65" s="15"/>
    </row>
    <row r="66" spans="1:9" ht="39" customHeight="1" x14ac:dyDescent="0.25">
      <c r="A66" s="4" t="s">
        <v>153</v>
      </c>
      <c r="B66" s="5" t="s">
        <v>51</v>
      </c>
      <c r="C66" s="40" t="s">
        <v>213</v>
      </c>
      <c r="D66" s="76">
        <v>4916358</v>
      </c>
      <c r="E66" s="44">
        <v>0.4</v>
      </c>
      <c r="F66" s="15"/>
    </row>
    <row r="67" spans="1:9" ht="39" customHeight="1" x14ac:dyDescent="0.25">
      <c r="A67" s="4" t="s">
        <v>154</v>
      </c>
      <c r="B67" s="5" t="s">
        <v>52</v>
      </c>
      <c r="C67" s="40" t="s">
        <v>214</v>
      </c>
      <c r="D67" s="76">
        <v>4916367</v>
      </c>
      <c r="E67" s="44">
        <v>0.4</v>
      </c>
      <c r="F67" s="15"/>
    </row>
    <row r="68" spans="1:9" ht="44.25" customHeight="1" x14ac:dyDescent="0.25">
      <c r="A68" s="4" t="s">
        <v>155</v>
      </c>
      <c r="B68" s="5" t="s">
        <v>53</v>
      </c>
      <c r="C68" s="40" t="s">
        <v>215</v>
      </c>
      <c r="D68" s="76">
        <v>4916376</v>
      </c>
      <c r="E68" s="44">
        <v>0.4</v>
      </c>
      <c r="F68" s="15"/>
    </row>
    <row r="69" spans="1:9" ht="30" x14ac:dyDescent="0.25">
      <c r="A69" s="4" t="s">
        <v>156</v>
      </c>
      <c r="B69" s="5" t="s">
        <v>54</v>
      </c>
      <c r="C69" s="40" t="s">
        <v>216</v>
      </c>
      <c r="D69" s="76">
        <v>4916385</v>
      </c>
      <c r="E69" s="44">
        <v>0.4</v>
      </c>
      <c r="F69" s="15"/>
    </row>
    <row r="70" spans="1:9" s="34" customFormat="1" ht="42" customHeight="1" x14ac:dyDescent="0.25">
      <c r="A70" s="35" t="s">
        <v>157</v>
      </c>
      <c r="B70" s="36" t="s">
        <v>55</v>
      </c>
      <c r="C70" s="48" t="s">
        <v>217</v>
      </c>
      <c r="D70" s="78">
        <v>4917122</v>
      </c>
      <c r="E70" s="49">
        <v>0.4</v>
      </c>
      <c r="F70" s="33"/>
    </row>
    <row r="71" spans="1:9" ht="41.25" customHeight="1" x14ac:dyDescent="0.25">
      <c r="A71" s="4" t="s">
        <v>158</v>
      </c>
      <c r="B71" s="5" t="s">
        <v>56</v>
      </c>
      <c r="C71" s="40" t="s">
        <v>218</v>
      </c>
      <c r="D71" s="76">
        <v>4916394</v>
      </c>
      <c r="E71" s="44">
        <v>0.4</v>
      </c>
      <c r="F71" s="15"/>
    </row>
    <row r="72" spans="1:9" ht="42" customHeight="1" x14ac:dyDescent="0.25">
      <c r="A72" s="4" t="s">
        <v>159</v>
      </c>
      <c r="B72" s="5" t="s">
        <v>57</v>
      </c>
      <c r="C72" s="40" t="s">
        <v>219</v>
      </c>
      <c r="D72" s="76">
        <v>4916401</v>
      </c>
      <c r="E72" s="44">
        <v>0.4</v>
      </c>
      <c r="F72" s="15"/>
    </row>
    <row r="73" spans="1:9" ht="38.25" customHeight="1" x14ac:dyDescent="0.25">
      <c r="A73" s="4" t="s">
        <v>160</v>
      </c>
      <c r="B73" s="5" t="s">
        <v>58</v>
      </c>
      <c r="C73" s="40" t="s">
        <v>220</v>
      </c>
      <c r="D73" s="76">
        <v>4916410</v>
      </c>
      <c r="E73" s="44">
        <v>0.4</v>
      </c>
      <c r="F73" s="15"/>
    </row>
    <row r="74" spans="1:9" ht="38.25" customHeight="1" x14ac:dyDescent="0.25">
      <c r="A74" s="4" t="s">
        <v>161</v>
      </c>
      <c r="B74" s="5" t="s">
        <v>59</v>
      </c>
      <c r="C74" s="40" t="s">
        <v>221</v>
      </c>
      <c r="D74" s="76">
        <v>4916429</v>
      </c>
      <c r="E74" s="44">
        <v>0.4</v>
      </c>
      <c r="F74" s="15"/>
    </row>
    <row r="75" spans="1:9" ht="42" customHeight="1" x14ac:dyDescent="0.25">
      <c r="A75" s="4" t="s">
        <v>244</v>
      </c>
      <c r="B75" s="5" t="s">
        <v>60</v>
      </c>
      <c r="C75" s="40" t="s">
        <v>222</v>
      </c>
      <c r="D75" s="76">
        <v>4916438</v>
      </c>
      <c r="E75" s="44">
        <v>0.4</v>
      </c>
      <c r="F75" s="15"/>
    </row>
    <row r="76" spans="1:9" ht="36.75" customHeight="1" x14ac:dyDescent="0.25">
      <c r="A76" s="52" t="s">
        <v>162</v>
      </c>
      <c r="B76" s="53" t="s">
        <v>61</v>
      </c>
      <c r="C76" s="46" t="s">
        <v>223</v>
      </c>
      <c r="D76" s="76">
        <v>4916447</v>
      </c>
      <c r="E76" s="54">
        <v>0.4</v>
      </c>
      <c r="F76" s="15"/>
    </row>
    <row r="77" spans="1:9" ht="26.25" x14ac:dyDescent="0.25">
      <c r="A77" s="98" t="s">
        <v>62</v>
      </c>
      <c r="B77" s="99"/>
      <c r="C77" s="99"/>
      <c r="D77" s="99"/>
      <c r="E77" s="99"/>
      <c r="F77" s="100"/>
    </row>
    <row r="78" spans="1:9" ht="33.950000000000003" customHeight="1" x14ac:dyDescent="0.25">
      <c r="A78" s="60" t="s">
        <v>116</v>
      </c>
      <c r="B78" s="61" t="s">
        <v>63</v>
      </c>
      <c r="C78" s="57" t="s">
        <v>224</v>
      </c>
      <c r="D78" s="76">
        <v>4916465</v>
      </c>
      <c r="E78" s="58">
        <v>0.04</v>
      </c>
      <c r="F78" s="15"/>
    </row>
    <row r="79" spans="1:9" s="30" customFormat="1" ht="33.950000000000003" customHeight="1" x14ac:dyDescent="0.25">
      <c r="A79" s="9" t="s">
        <v>117</v>
      </c>
      <c r="B79" s="32" t="s">
        <v>91</v>
      </c>
      <c r="C79" s="43" t="s">
        <v>241</v>
      </c>
      <c r="D79" s="77">
        <v>4924038</v>
      </c>
      <c r="E79" s="45">
        <v>0.1</v>
      </c>
      <c r="F79" s="29"/>
      <c r="I79" s="37"/>
    </row>
    <row r="80" spans="1:9" s="30" customFormat="1" ht="44.25" customHeight="1" x14ac:dyDescent="0.25">
      <c r="A80" s="9" t="s">
        <v>167</v>
      </c>
      <c r="B80" s="32" t="s">
        <v>105</v>
      </c>
      <c r="C80" s="43" t="s">
        <v>225</v>
      </c>
      <c r="D80" s="77">
        <v>4924047</v>
      </c>
      <c r="E80" s="45">
        <v>0.1</v>
      </c>
      <c r="F80" s="29"/>
      <c r="I80" s="37"/>
    </row>
    <row r="81" spans="1:6" ht="42.75" customHeight="1" x14ac:dyDescent="0.25">
      <c r="A81" s="2" t="s">
        <v>238</v>
      </c>
      <c r="B81" s="5" t="s">
        <v>106</v>
      </c>
      <c r="C81" s="40" t="s">
        <v>226</v>
      </c>
      <c r="D81" s="76">
        <v>4916474</v>
      </c>
      <c r="E81" s="44">
        <v>0.4</v>
      </c>
      <c r="F81" s="15"/>
    </row>
    <row r="82" spans="1:6" ht="42.75" customHeight="1" x14ac:dyDescent="0.25">
      <c r="A82" s="2" t="s">
        <v>118</v>
      </c>
      <c r="B82" s="12" t="s">
        <v>64</v>
      </c>
      <c r="C82" s="40" t="s">
        <v>227</v>
      </c>
      <c r="D82" s="76">
        <v>4916483</v>
      </c>
      <c r="E82" s="44">
        <v>0.05</v>
      </c>
      <c r="F82" s="15"/>
    </row>
    <row r="83" spans="1:6" ht="48.75" customHeight="1" x14ac:dyDescent="0.25">
      <c r="A83" s="4" t="s">
        <v>170</v>
      </c>
      <c r="B83" s="5" t="s">
        <v>65</v>
      </c>
      <c r="C83" s="40" t="s">
        <v>228</v>
      </c>
      <c r="D83" s="76">
        <v>4916492</v>
      </c>
      <c r="E83" s="44">
        <v>2.15</v>
      </c>
      <c r="F83" s="15">
        <v>1</v>
      </c>
    </row>
    <row r="84" spans="1:6" ht="44.25" customHeight="1" x14ac:dyDescent="0.25">
      <c r="A84" s="4" t="s">
        <v>171</v>
      </c>
      <c r="B84" s="5" t="s">
        <v>66</v>
      </c>
      <c r="C84" s="40" t="s">
        <v>229</v>
      </c>
      <c r="D84" s="76">
        <v>4916509</v>
      </c>
      <c r="E84" s="44">
        <v>0.65</v>
      </c>
      <c r="F84" s="15"/>
    </row>
    <row r="85" spans="1:6" ht="48.75" customHeight="1" x14ac:dyDescent="0.25">
      <c r="A85" s="4" t="s">
        <v>172</v>
      </c>
      <c r="B85" s="5" t="s">
        <v>67</v>
      </c>
      <c r="C85" s="40" t="s">
        <v>230</v>
      </c>
      <c r="D85" s="76">
        <v>4916518</v>
      </c>
      <c r="E85" s="44">
        <v>0.4</v>
      </c>
      <c r="F85" s="15"/>
    </row>
    <row r="86" spans="1:6" ht="42" customHeight="1" x14ac:dyDescent="0.25">
      <c r="A86" s="4" t="s">
        <v>168</v>
      </c>
      <c r="B86" s="5" t="s">
        <v>68</v>
      </c>
      <c r="C86" s="40" t="s">
        <v>231</v>
      </c>
      <c r="D86" s="76">
        <v>4916527</v>
      </c>
      <c r="E86" s="44">
        <v>0.4</v>
      </c>
      <c r="F86" s="15"/>
    </row>
    <row r="87" spans="1:6" ht="45.6" customHeight="1" x14ac:dyDescent="0.25">
      <c r="A87" s="4" t="s">
        <v>169</v>
      </c>
      <c r="B87" s="5" t="s">
        <v>69</v>
      </c>
      <c r="C87" s="40" t="s">
        <v>232</v>
      </c>
      <c r="D87" s="76">
        <v>4916536</v>
      </c>
      <c r="E87" s="44">
        <v>0.25</v>
      </c>
      <c r="F87" s="15"/>
    </row>
    <row r="88" spans="1:6" ht="43.5" customHeight="1" x14ac:dyDescent="0.25">
      <c r="A88" s="4" t="s">
        <v>173</v>
      </c>
      <c r="B88" s="5" t="s">
        <v>70</v>
      </c>
      <c r="C88" s="40" t="s">
        <v>233</v>
      </c>
      <c r="D88" s="76">
        <v>4916545</v>
      </c>
      <c r="E88" s="44">
        <v>0.25</v>
      </c>
      <c r="F88" s="15"/>
    </row>
    <row r="89" spans="1:6" ht="35.25" customHeight="1" x14ac:dyDescent="0.25">
      <c r="A89" s="4" t="s">
        <v>174</v>
      </c>
      <c r="B89" s="5" t="s">
        <v>71</v>
      </c>
      <c r="C89" s="40" t="s">
        <v>234</v>
      </c>
      <c r="D89" s="76">
        <v>4916554</v>
      </c>
      <c r="E89" s="44">
        <v>0.45</v>
      </c>
      <c r="F89" s="15"/>
    </row>
    <row r="90" spans="1:6" ht="30" x14ac:dyDescent="0.25">
      <c r="A90" s="4" t="s">
        <v>175</v>
      </c>
      <c r="B90" s="5" t="s">
        <v>72</v>
      </c>
      <c r="C90" s="40" t="s">
        <v>235</v>
      </c>
      <c r="D90" s="76">
        <v>4916563</v>
      </c>
      <c r="E90" s="44">
        <v>0.65</v>
      </c>
      <c r="F90" s="15"/>
    </row>
    <row r="91" spans="1:6" ht="45" x14ac:dyDescent="0.25">
      <c r="A91" s="4" t="s">
        <v>176</v>
      </c>
      <c r="B91" s="5" t="s">
        <v>73</v>
      </c>
      <c r="C91" s="40" t="s">
        <v>236</v>
      </c>
      <c r="D91" s="76">
        <v>4916572</v>
      </c>
      <c r="E91" s="44">
        <v>2.85</v>
      </c>
      <c r="F91" s="15"/>
    </row>
    <row r="92" spans="1:6" ht="36.75" customHeight="1" x14ac:dyDescent="0.25">
      <c r="A92" s="52" t="s">
        <v>119</v>
      </c>
      <c r="B92" s="53" t="s">
        <v>74</v>
      </c>
      <c r="C92" s="46" t="s">
        <v>237</v>
      </c>
      <c r="D92" s="76">
        <v>4916581</v>
      </c>
      <c r="E92" s="54">
        <v>0.6</v>
      </c>
      <c r="F92" s="15"/>
    </row>
    <row r="93" spans="1:6" ht="25.5" customHeight="1" x14ac:dyDescent="0.25">
      <c r="A93" s="101" t="s">
        <v>242</v>
      </c>
      <c r="B93" s="102"/>
      <c r="C93" s="102"/>
      <c r="D93" s="102"/>
      <c r="E93" s="102"/>
      <c r="F93" s="103"/>
    </row>
    <row r="94" spans="1:6" ht="29.45" customHeight="1" x14ac:dyDescent="0.25">
      <c r="A94" s="55" t="s">
        <v>177</v>
      </c>
      <c r="B94" s="56" t="s">
        <v>75</v>
      </c>
      <c r="C94" s="57"/>
      <c r="D94" s="76">
        <v>4917300</v>
      </c>
      <c r="E94" s="58">
        <v>0.6</v>
      </c>
      <c r="F94" s="15"/>
    </row>
    <row r="95" spans="1:6" ht="30" x14ac:dyDescent="0.25">
      <c r="A95" s="4" t="s">
        <v>178</v>
      </c>
      <c r="B95" s="5" t="s">
        <v>76</v>
      </c>
      <c r="C95" s="40"/>
      <c r="D95" s="76">
        <v>4916590</v>
      </c>
      <c r="E95" s="44">
        <v>2.4</v>
      </c>
      <c r="F95" s="15"/>
    </row>
    <row r="96" spans="1:6" ht="45.75" thickBot="1" x14ac:dyDescent="0.3">
      <c r="A96" s="11" t="s">
        <v>179</v>
      </c>
      <c r="B96" s="8" t="s">
        <v>77</v>
      </c>
      <c r="C96" s="46"/>
      <c r="D96" s="81">
        <v>4916607</v>
      </c>
      <c r="E96" s="51">
        <v>0.25</v>
      </c>
      <c r="F96" s="16"/>
    </row>
    <row r="97" spans="1:6" ht="15.75" thickBot="1" x14ac:dyDescent="0.3">
      <c r="A97" s="13"/>
      <c r="B97" s="13"/>
      <c r="C97" s="79"/>
      <c r="D97" s="50"/>
      <c r="E97" s="80">
        <f>SUMPRODUCT(E5:E96, F5:F96)</f>
        <v>10.49</v>
      </c>
      <c r="F97" s="23"/>
    </row>
    <row r="98" spans="1:6" x14ac:dyDescent="0.25">
      <c r="A98" s="14"/>
    </row>
    <row r="99" spans="1:6" x14ac:dyDescent="0.25">
      <c r="A99" s="14"/>
    </row>
    <row r="100" spans="1:6" x14ac:dyDescent="0.25">
      <c r="A100" s="24"/>
      <c r="B100" s="25"/>
      <c r="C100" s="25"/>
      <c r="D100" s="25"/>
      <c r="E100" s="25"/>
      <c r="F100" s="25"/>
    </row>
  </sheetData>
  <mergeCells count="14">
    <mergeCell ref="A77:F77"/>
    <mergeCell ref="A93:F93"/>
    <mergeCell ref="A23:E23"/>
    <mergeCell ref="A33:F33"/>
    <mergeCell ref="A46:F46"/>
    <mergeCell ref="A50:F50"/>
    <mergeCell ref="A58:F58"/>
    <mergeCell ref="H1:N1"/>
    <mergeCell ref="A1:F1"/>
    <mergeCell ref="A2:B2"/>
    <mergeCell ref="A13:E13"/>
    <mergeCell ref="A7:F7"/>
    <mergeCell ref="A4:F4"/>
    <mergeCell ref="C2:E2"/>
  </mergeCells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NewFile" altText="GENERATE">
                <anchor moveWithCells="1">
                  <from>
                    <xdr:col>6</xdr:col>
                    <xdr:colOff>600075</xdr:colOff>
                    <xdr:row>1</xdr:row>
                    <xdr:rowOff>390525</xdr:rowOff>
                  </from>
                  <to>
                    <xdr:col>14</xdr:col>
                    <xdr:colOff>9525</xdr:colOff>
                    <xdr:row>4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joann</dc:creator>
  <cp:lastModifiedBy>Tiger Hao</cp:lastModifiedBy>
  <dcterms:created xsi:type="dcterms:W3CDTF">2019-05-16T14:23:36Z</dcterms:created>
  <dcterms:modified xsi:type="dcterms:W3CDTF">2019-11-16T19:06:24Z</dcterms:modified>
</cp:coreProperties>
</file>